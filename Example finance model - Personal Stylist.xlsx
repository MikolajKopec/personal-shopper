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ługi" sheetId="1" r:id="rId5"/>
  </sheets>
  <definedNames/>
  <calcPr/>
</workbook>
</file>

<file path=xl/sharedStrings.xml><?xml version="1.0" encoding="utf-8"?>
<sst xmlns="http://schemas.openxmlformats.org/spreadsheetml/2006/main" count="21" uniqueCount="21">
  <si>
    <t>id</t>
  </si>
  <si>
    <t>opis usługi</t>
  </si>
  <si>
    <t>koszty</t>
  </si>
  <si>
    <t>Narzut</t>
  </si>
  <si>
    <t>Marża</t>
  </si>
  <si>
    <t>docelowy koszt klienta</t>
  </si>
  <si>
    <t>zysk</t>
  </si>
  <si>
    <t>Cennik stylistek za 5 fitów za dany etap</t>
  </si>
  <si>
    <t>Przykładowy koszt fitu</t>
  </si>
  <si>
    <t>Operator płatności</t>
  </si>
  <si>
    <t>Bufor</t>
  </si>
  <si>
    <t>Transport</t>
  </si>
  <si>
    <t>USD -&gt; PLN</t>
  </si>
  <si>
    <t>P1</t>
  </si>
  <si>
    <t xml:space="preserve">Usługa tworzenia stylizacji. Czyli klient jest dopasowywany do dedykowanej stylistki. Klient odpowiada na pytania, korzysta ze współdzielonej przestrzeni inspiracjii ze stylistką, oraz ma możliwość rozmowy ze stylistką na czacie.
Klient współpracuje ze stylistką w celu wypracowania x fitów. </t>
  </si>
  <si>
    <t>P2</t>
  </si>
  <si>
    <t>Sprzedaż wytworzonych stylizacji we współpracy ze stylistką.
Jeżeli P1 się udało i klient jest zainteresowany - opłaca z góry wszystkie ciuchy oraz dostawę za wybrane fity. Stylistka przygotowuje przesyłkę - kupuje ciuchy, przygotowuje paczkę i wysyła.</t>
  </si>
  <si>
    <t>Zysk za narzut z ciuchów</t>
  </si>
  <si>
    <t>Narzut na cene fitów</t>
  </si>
  <si>
    <t>Podsumowanie</t>
  </si>
  <si>
    <t xml:space="preserve">USD 280 (P1 + P2) This would include: 
(P1)
– creating up to 5 complete outfits (apparel-focused, with jewellery suggestions if relevant) 
– ongoing communication to review, adjust, and refine the looks
(P2)
– sourcing and shopping from suitable brands 
– coordination for packing and sending the items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</si>
</sst>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zł]"/>
    <numFmt numFmtId="165" formatCode="#,##0.00\ [$zł-415]"/>
    <numFmt numFmtId="166" formatCode="[$$]#,##0.00"/>
  </numFmts>
  <fonts count="3">
    <font>
      <sz val="10.0"/>
      <color rgb="FF000000"/>
      <name val="Arial"/>
      <scheme val="minor"/>
    </font>
    <font>
      <color theme="1"/>
      <name val="Arial"/>
      <scheme val="minor"/>
    </font>
    <font>
      <sz val="11.0"/>
      <color rgb="FF000000"/>
      <name val="Arial"/>
    </font>
  </fonts>
  <fills count="3">
    <fill>
      <patternFill patternType="none"/>
    </fill>
    <fill>
      <patternFill patternType="lightGray"/>
    </fill>
    <fill>
      <patternFill patternType="solid">
        <fgColor rgb="FFFFE1C5"/>
        <bgColor rgb="FFFFE1C5"/>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shrinkToFit="0" wrapText="1"/>
    </xf>
    <xf borderId="0" fillId="0" fontId="1" numFmtId="9" xfId="0" applyAlignment="1" applyFont="1" applyNumberFormat="1">
      <alignment readingOrder="0" shrinkToFit="0" wrapText="1"/>
    </xf>
    <xf borderId="0" fillId="0" fontId="1" numFmtId="165" xfId="0" applyAlignment="1" applyFont="1" applyNumberFormat="1">
      <alignment readingOrder="0"/>
    </xf>
    <xf borderId="0" fillId="0" fontId="1" numFmtId="165" xfId="0" applyAlignment="1" applyFont="1" applyNumberFormat="1">
      <alignment shrinkToFit="0" wrapText="1"/>
    </xf>
    <xf borderId="0" fillId="0" fontId="1" numFmtId="166" xfId="0" applyAlignment="1" applyFont="1" applyNumberFormat="1">
      <alignment readingOrder="0" shrinkToFit="0" wrapText="1"/>
    </xf>
    <xf borderId="0" fillId="0" fontId="1" numFmtId="164" xfId="0" applyAlignment="1" applyFont="1" applyNumberFormat="1">
      <alignment readingOrder="0" shrinkToFit="0" wrapText="1"/>
    </xf>
    <xf borderId="0" fillId="0" fontId="1" numFmtId="10" xfId="0" applyAlignment="1" applyFont="1" applyNumberFormat="1">
      <alignment readingOrder="0" shrinkToFit="0" wrapText="1"/>
    </xf>
    <xf borderId="0" fillId="0" fontId="1" numFmtId="165" xfId="0" applyAlignment="1" applyFont="1" applyNumberFormat="1">
      <alignment readingOrder="0" shrinkToFit="0" wrapText="1"/>
    </xf>
    <xf borderId="0" fillId="2" fontId="2"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9.38"/>
    <col customWidth="1" min="5" max="5" width="18.38"/>
    <col customWidth="1" min="6" max="6" width="20.5"/>
    <col customWidth="1" min="8" max="8" width="14.75"/>
    <col customWidth="1" min="9" max="9" width="30.38"/>
  </cols>
  <sheetData>
    <row r="1">
      <c r="A1" s="1" t="s">
        <v>0</v>
      </c>
      <c r="B1" s="1" t="s">
        <v>1</v>
      </c>
      <c r="C1" s="1" t="s">
        <v>2</v>
      </c>
      <c r="D1" s="1" t="s">
        <v>3</v>
      </c>
      <c r="E1" s="1" t="s">
        <v>4</v>
      </c>
      <c r="F1" s="1" t="s">
        <v>5</v>
      </c>
      <c r="G1" s="1" t="s">
        <v>6</v>
      </c>
      <c r="I1" s="1" t="s">
        <v>7</v>
      </c>
      <c r="J1" s="2"/>
      <c r="K1" s="1" t="s">
        <v>8</v>
      </c>
      <c r="L1" s="1" t="s">
        <v>9</v>
      </c>
      <c r="M1" s="1" t="s">
        <v>10</v>
      </c>
      <c r="N1" s="1" t="s">
        <v>11</v>
      </c>
      <c r="P1" s="1" t="s">
        <v>12</v>
      </c>
      <c r="Q1" s="2"/>
      <c r="R1" s="2"/>
      <c r="S1" s="2"/>
      <c r="T1" s="2"/>
      <c r="U1" s="2"/>
      <c r="V1" s="2"/>
      <c r="W1" s="2"/>
      <c r="X1" s="2"/>
      <c r="Y1" s="2"/>
      <c r="Z1" s="2"/>
    </row>
    <row r="2">
      <c r="A2" s="1" t="s">
        <v>13</v>
      </c>
      <c r="B2" s="1" t="s">
        <v>14</v>
      </c>
      <c r="C2" s="3">
        <f>J2+(F2*$L$2)+ M2</f>
        <v>576.75</v>
      </c>
      <c r="D2" s="4">
        <f t="shared" ref="D2:D3" si="1">G2/C2</f>
        <v>0.7165149545</v>
      </c>
      <c r="E2" s="4">
        <f t="shared" ref="E2:E3" si="2">(F2-C2)/F2</f>
        <v>0.4174242424</v>
      </c>
      <c r="F2" s="5">
        <v>990.0</v>
      </c>
      <c r="G2" s="6">
        <f t="shared" ref="G2:G3" si="3">F2-C2</f>
        <v>413.25</v>
      </c>
      <c r="I2" s="7">
        <v>140.0</v>
      </c>
      <c r="J2" s="3">
        <f t="shared" ref="J2:J3" si="4">I2*$P$2</f>
        <v>532</v>
      </c>
      <c r="K2" s="8">
        <v>600.0</v>
      </c>
      <c r="L2" s="9">
        <v>0.025</v>
      </c>
      <c r="M2" s="10">
        <v>20.0</v>
      </c>
      <c r="N2" s="10">
        <v>0.0</v>
      </c>
      <c r="P2" s="1">
        <v>3.8</v>
      </c>
      <c r="Q2" s="2"/>
      <c r="R2" s="2"/>
      <c r="S2" s="2"/>
      <c r="T2" s="2"/>
      <c r="U2" s="2"/>
      <c r="V2" s="2"/>
      <c r="W2" s="2"/>
      <c r="X2" s="2"/>
      <c r="Y2" s="2"/>
      <c r="Z2" s="2"/>
    </row>
    <row r="3">
      <c r="A3" s="1" t="s">
        <v>15</v>
      </c>
      <c r="B3" s="1" t="s">
        <v>16</v>
      </c>
      <c r="C3" s="3">
        <f>K5+J3+(F3*L3)+M3+N3</f>
        <v>4807</v>
      </c>
      <c r="D3" s="4">
        <f t="shared" si="1"/>
        <v>0.04014978157</v>
      </c>
      <c r="E3" s="4">
        <f t="shared" si="2"/>
        <v>0.0386</v>
      </c>
      <c r="F3" s="5">
        <v>5000.0</v>
      </c>
      <c r="G3" s="6">
        <f t="shared" si="3"/>
        <v>193</v>
      </c>
      <c r="I3" s="7">
        <v>140.0</v>
      </c>
      <c r="J3" s="3">
        <f t="shared" si="4"/>
        <v>532</v>
      </c>
      <c r="K3" s="3">
        <f>5*K2</f>
        <v>3000</v>
      </c>
      <c r="L3" s="9">
        <v>0.025</v>
      </c>
      <c r="M3" s="10">
        <v>50.0</v>
      </c>
      <c r="N3" s="10">
        <v>350.0</v>
      </c>
      <c r="P3" s="2"/>
      <c r="Q3" s="2"/>
      <c r="R3" s="2"/>
      <c r="S3" s="2"/>
      <c r="T3" s="2"/>
      <c r="U3" s="2"/>
      <c r="V3" s="2"/>
      <c r="W3" s="2"/>
      <c r="X3" s="2"/>
      <c r="Y3" s="2"/>
      <c r="Z3" s="2"/>
    </row>
    <row r="4">
      <c r="A4" s="2"/>
      <c r="B4" s="2"/>
      <c r="C4" s="2"/>
      <c r="D4" s="2"/>
      <c r="F4" s="10" t="s">
        <v>17</v>
      </c>
      <c r="G4" s="3">
        <f>K5-K3</f>
        <v>750</v>
      </c>
      <c r="I4" s="2"/>
      <c r="J4" s="1" t="s">
        <v>18</v>
      </c>
      <c r="K4" s="4">
        <v>0.25</v>
      </c>
      <c r="L4" s="2"/>
      <c r="M4" s="2"/>
      <c r="N4" s="2"/>
      <c r="O4" s="2"/>
      <c r="P4" s="2"/>
      <c r="Q4" s="2"/>
      <c r="R4" s="2"/>
      <c r="S4" s="2"/>
      <c r="T4" s="2"/>
      <c r="U4" s="2"/>
      <c r="V4" s="2"/>
      <c r="W4" s="2"/>
      <c r="X4" s="2"/>
      <c r="Y4" s="2"/>
      <c r="Z4" s="2"/>
    </row>
    <row r="5">
      <c r="A5" s="2"/>
      <c r="B5" s="1" t="s">
        <v>19</v>
      </c>
      <c r="C5" s="3">
        <f>SUM(C2:C3)</f>
        <v>5383.75</v>
      </c>
      <c r="D5" s="2"/>
      <c r="F5" s="6">
        <f>SUM(F2:F3)</f>
        <v>5990</v>
      </c>
      <c r="G5" s="6">
        <f>SUM(G2:G4)</f>
        <v>1356.25</v>
      </c>
      <c r="I5" s="2"/>
      <c r="J5" s="2"/>
      <c r="K5" s="3">
        <f>K3*(100%+K4)</f>
        <v>3750</v>
      </c>
      <c r="L5" s="2"/>
      <c r="M5" s="2"/>
      <c r="N5" s="2"/>
      <c r="O5" s="2"/>
      <c r="P5" s="2"/>
      <c r="Q5" s="2"/>
      <c r="R5" s="2"/>
      <c r="S5" s="2"/>
      <c r="T5" s="2"/>
      <c r="U5" s="2"/>
      <c r="V5" s="2"/>
      <c r="W5" s="2"/>
      <c r="X5" s="2"/>
      <c r="Y5" s="2"/>
      <c r="Z5" s="2"/>
    </row>
    <row r="6">
      <c r="A6" s="2"/>
      <c r="B6" s="2"/>
      <c r="C6" s="2"/>
      <c r="D6" s="2"/>
      <c r="E6" s="2"/>
      <c r="F6" s="2"/>
      <c r="G6" s="2"/>
      <c r="I6" s="2"/>
      <c r="J6" s="2"/>
      <c r="K6" s="2"/>
      <c r="L6" s="2"/>
      <c r="M6" s="2"/>
      <c r="N6" s="2"/>
      <c r="O6" s="2"/>
      <c r="P6" s="2"/>
      <c r="Q6" s="2"/>
      <c r="R6" s="2"/>
      <c r="S6" s="2"/>
      <c r="T6" s="2"/>
      <c r="U6" s="2"/>
      <c r="V6" s="2"/>
      <c r="W6" s="2"/>
      <c r="X6" s="2"/>
      <c r="Y6" s="2"/>
      <c r="Z6" s="2"/>
    </row>
    <row r="7">
      <c r="A7" s="2"/>
      <c r="B7" s="2"/>
      <c r="C7" s="2"/>
      <c r="D7" s="2"/>
      <c r="F7" s="2"/>
      <c r="G7" s="2"/>
      <c r="I7" s="2"/>
      <c r="J7" s="2"/>
      <c r="K7" s="2"/>
      <c r="L7" s="2"/>
      <c r="M7" s="2"/>
      <c r="N7" s="2"/>
      <c r="O7" s="2"/>
      <c r="P7" s="2"/>
      <c r="Q7" s="2"/>
      <c r="R7" s="2"/>
      <c r="S7" s="2"/>
      <c r="T7" s="2"/>
      <c r="U7" s="2"/>
      <c r="V7" s="2"/>
      <c r="W7" s="2"/>
      <c r="X7" s="2"/>
      <c r="Y7" s="2"/>
      <c r="Z7" s="2"/>
    </row>
    <row r="8">
      <c r="A8" s="2"/>
      <c r="B8" s="2"/>
      <c r="C8" s="2"/>
      <c r="D8" s="2"/>
      <c r="E8" s="2"/>
      <c r="F8" s="2"/>
      <c r="G8" s="2"/>
      <c r="I8" s="11" t="s">
        <v>20</v>
      </c>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